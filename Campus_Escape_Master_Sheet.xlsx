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Ruangan" sheetId="1" state="visible" r:id="rId1"/>
    <sheet xmlns:r="http://schemas.openxmlformats.org/officeDocument/2006/relationships" name="Jawaban" sheetId="2" state="visible" r:id="rId2"/>
    <sheet xmlns:r="http://schemas.openxmlformats.org/officeDocument/2006/relationships" name="Petunjuk" sheetId="3" state="visible" r:id="rId3"/>
    <sheet xmlns:r="http://schemas.openxmlformats.org/officeDocument/2006/relationships" name="Pesan Feedback" sheetId="4" state="visible" r:id="rId4"/>
    <sheet xmlns:r="http://schemas.openxmlformats.org/officeDocument/2006/relationships" name="Aturan Skor" sheetId="5" state="visible" r:id="rId5"/>
    <sheet xmlns:r="http://schemas.openxmlformats.org/officeDocument/2006/relationships" name="Galeri SoCS" sheetId="6" state="visible" r:id="rId6"/>
    <sheet xmlns:r="http://schemas.openxmlformats.org/officeDocument/2006/relationships" name="Alur &amp; Unlock" sheetId="7" state="visible" r:id="rId7"/>
    <sheet xmlns:r="http://schemas.openxmlformats.org/officeDocument/2006/relationships" name="Panel Ad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i val="1"/>
      <color rgb="005B6B8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0B6B5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D98E19"/>
      <sz val="12"/>
    </font>
  </fonts>
  <fills count="21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6F8FC"/>
      </patternFill>
    </fill>
    <fill>
      <patternFill patternType="solid">
        <fgColor rgb="0060A5FA"/>
      </patternFill>
    </fill>
    <fill>
      <patternFill patternType="solid">
        <fgColor rgb="00E6FBF7"/>
      </patternFill>
    </fill>
    <fill>
      <patternFill patternType="solid">
        <fgColor rgb="00F472B6"/>
      </patternFill>
    </fill>
    <fill>
      <patternFill patternType="solid">
        <fgColor rgb="0038BDF8"/>
      </patternFill>
    </fill>
    <fill>
      <patternFill patternType="solid">
        <fgColor rgb="00E879F9"/>
      </patternFill>
    </fill>
    <fill>
      <patternFill patternType="solid">
        <fgColor rgb="00A3E635"/>
      </patternFill>
    </fill>
    <fill>
      <patternFill patternType="solid">
        <fgColor rgb="00FB7185"/>
      </patternFill>
    </fill>
    <fill>
      <patternFill patternType="solid">
        <fgColor rgb="00818CF8"/>
      </patternFill>
    </fill>
    <fill>
      <patternFill patternType="solid">
        <fgColor rgb="00FACC15"/>
      </patternFill>
    </fill>
    <fill>
      <patternFill patternType="solid">
        <fgColor rgb="00A78BFA"/>
      </patternFill>
    </fill>
    <fill>
      <patternFill patternType="solid">
        <fgColor rgb="00F3EEFF"/>
      </patternFill>
    </fill>
    <fill>
      <patternFill patternType="solid">
        <fgColor rgb="00F97316"/>
      </patternFill>
    </fill>
    <fill>
      <patternFill patternType="solid">
        <fgColor rgb="007A3E00"/>
      </patternFill>
    </fill>
    <fill>
      <patternFill patternType="solid">
        <fgColor rgb="003A1D22"/>
      </patternFill>
    </fill>
    <fill>
      <patternFill patternType="solid">
        <fgColor rgb="00FFFF00"/>
      </patternFill>
    </fill>
    <fill>
      <patternFill patternType="solid">
        <fgColor rgb="000B6B5F"/>
      </patternFill>
    </fill>
    <fill>
      <patternFill patternType="solid">
        <fgColor rgb="00FFE9D6"/>
      </patternFill>
    </fill>
  </fills>
  <borders count="2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17" borderId="1" applyAlignment="1" pivotButton="0" quotePrefix="0" xfId="0">
      <alignment vertical="center" wrapText="1"/>
    </xf>
    <xf numFmtId="0" fontId="4" fillId="0" borderId="1" pivotButton="0" quotePrefix="0" xfId="0"/>
    <xf numFmtId="0" fontId="7" fillId="18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3" fillId="19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F17" authorId="0" shapeId="0">
      <text>
        <t>Rumus ini mencerminkan ScoreCalculator.score(): clamp(base/2, base).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8" customWidth="1" min="4" max="4"/>
    <col width="10" customWidth="1" min="5" max="5"/>
    <col width="9" customWidth="1" min="6" max="6"/>
    <col width="26" customWidth="1" min="7" max="7"/>
    <col width="8" customWidth="1" min="8" max="8"/>
    <col width="30" customWidth="1" min="9" max="9"/>
    <col width="52" customWidth="1" min="10" max="10"/>
    <col width="52" customWidth="1" min="11" max="11"/>
    <col width="28" customWidth="1" min="12" max="12"/>
    <col width="24" customWidth="1" min="13" max="13"/>
  </cols>
  <sheetData>
    <row r="1">
      <c r="A1" s="1" t="inlineStr">
        <is>
          <t>Campus Escape — Master Info 10 Ruangan</t>
        </is>
      </c>
    </row>
    <row r="2">
      <c r="A2" s="2" t="inlineStr">
        <is>
          <t>Sumber kebenaran: lib/data/models/room_meta.dart + 10 file di lib/presentation/screens/rooms/. v0.4 · 14 Okt 2026 — tiap ruangan punya mini-game berbeda; DB/AI/Cyber diacak</t>
        </is>
      </c>
    </row>
    <row r="4">
      <c r="A4" s="3" t="inlineStr">
        <is>
          <t>No</t>
        </is>
      </c>
      <c r="B4" s="3" t="inlineStr">
        <is>
          <t>RoomId (enum)</t>
        </is>
      </c>
      <c r="C4" s="3" t="inlineStr">
        <is>
          <t>Nama Ruangan</t>
        </is>
      </c>
      <c r="D4" s="3" t="inlineStr">
        <is>
          <t>Tipe</t>
        </is>
      </c>
      <c r="E4" s="3" t="inlineStr">
        <is>
          <t>Accent</t>
        </is>
      </c>
      <c r="F4" s="3" t="inlineStr">
        <is>
          <t>XP Base</t>
        </is>
      </c>
      <c r="G4" s="3" t="inlineStr">
        <is>
          <t>Mini-game (mekanik)</t>
        </is>
      </c>
      <c r="H4" s="3" t="inlineStr">
        <is>
          <t>Jumlah Tahap</t>
        </is>
      </c>
      <c r="I4" s="3" t="inlineStr">
        <is>
          <t>Cerita (lead)</t>
        </is>
      </c>
      <c r="J4" s="3" t="inlineStr">
        <is>
          <t>Cerita (body)</t>
        </is>
      </c>
      <c r="K4" s="3" t="inlineStr">
        <is>
          <t>Tampilan / Visual</t>
        </is>
      </c>
      <c r="L4" s="3" t="inlineStr">
        <is>
          <t>Judul Insight Card</t>
        </is>
      </c>
      <c r="M4" s="3" t="inlineStr">
        <is>
          <t>Route</t>
        </is>
      </c>
    </row>
    <row r="5">
      <c r="A5" s="4" t="n">
        <v>1</v>
      </c>
      <c r="B5" s="4" t="inlineStr">
        <is>
          <t>algorithm</t>
        </is>
      </c>
      <c r="C5" s="4" t="inlineStr">
        <is>
          <t>Algoritma &amp; Logika</t>
        </is>
      </c>
      <c r="D5" s="5" t="inlineStr">
        <is>
          <t>Core</t>
        </is>
      </c>
      <c r="E5" s="6" t="inlineStr">
        <is>
          <t>#60A5FA</t>
        </is>
      </c>
      <c r="F5" s="4" t="n">
        <v>200</v>
      </c>
      <c r="G5" s="4" t="inlineStr">
        <is>
          <t>Robot Pengantar — tap panah, susun perintah; saat 'Jalankan Robot' ditekan robot bergerak dulu, baru hasil keluar</t>
        </is>
      </c>
      <c r="H5" s="4" t="n">
        <v>1</v>
      </c>
      <c r="I5" s="4" t="inlineStr">
        <is>
          <t>Robot pengantar paket tersesat di lorong kampus.</t>
        </is>
      </c>
      <c r="J5" s="4" t="inlineStr">
        <is>
          <t>Susun perintah panah supaya robot sampai ke bendera tanpa menabrak tembok. Saat kamu tekan Jalankan Robot, robot bergerak dulu — kalau sampai bendera, pintu terbuka.</t>
        </is>
      </c>
      <c r="K5" s="4" t="inlineStr">
        <is>
          <t>Papan 4x3, robot mulai kiri bawah, bendera kanan atas, 2 tembok; tombol utama 'Jalankan Robot' menganimasikan robot lalu menilai posisi akhir (tidak ada tombol Jalankan terpisah)</t>
        </is>
      </c>
      <c r="L5" s="4" t="inlineStr">
        <is>
          <t>Apa itu algoritma?</t>
        </is>
      </c>
      <c r="M5" s="4" t="inlineStr">
        <is>
          <t>/room/algorithm</t>
        </is>
      </c>
    </row>
    <row r="6">
      <c r="A6" s="7" t="n">
        <v>2</v>
      </c>
      <c r="B6" s="7" t="inlineStr">
        <is>
          <t>uiUx</t>
        </is>
      </c>
      <c r="C6" s="7" t="inlineStr">
        <is>
          <t>UI/UX Design</t>
        </is>
      </c>
      <c r="D6" s="5" t="inlineStr">
        <is>
          <t>Core</t>
        </is>
      </c>
      <c r="E6" s="8" t="inlineStr">
        <is>
          <t>#F472B6</t>
        </is>
      </c>
      <c r="F6" s="7" t="n">
        <v>200</v>
      </c>
      <c r="G6" s="7" t="inlineStr">
        <is>
          <t>Mana yang lebih enak dipakai? — 3 pasangan A/B, tap yang lebih ramah</t>
        </is>
      </c>
      <c r="H6" s="7" t="n">
        <v>3</v>
      </c>
      <c r="I6" s="7" t="inlineStr">
        <is>
          <t>Pintu ini punya sensor empati.</t>
        </is>
      </c>
      <c r="J6" s="7" t="inlineStr">
        <is>
          <t>Ia hanya terbuka kalau kamu bisa memilih tampilan yang paling ramah untuk pengguna. Pilih satu dari tiap pasangan.</t>
        </is>
      </c>
      <c r="K6" s="7" t="inlineStr">
        <is>
          <t>3 pasang mockup mini: tombol besar vs kecil, teks kontras vs pudar, menu berlabel vs ikon saja</t>
        </is>
      </c>
      <c r="L6" s="7" t="inlineStr">
        <is>
          <t>Desain itu soal rasa 'gampang'</t>
        </is>
      </c>
      <c r="M6" s="7" t="inlineStr">
        <is>
          <t>/room/uiUx</t>
        </is>
      </c>
    </row>
    <row r="7">
      <c r="A7" s="4" t="n">
        <v>3</v>
      </c>
      <c r="B7" s="4" t="inlineStr">
        <is>
          <t>dataScience</t>
        </is>
      </c>
      <c r="C7" s="4" t="inlineStr">
        <is>
          <t>Data Science</t>
        </is>
      </c>
      <c r="D7" s="5" t="inlineStr">
        <is>
          <t>Core</t>
        </is>
      </c>
      <c r="E7" s="9" t="inlineStr">
        <is>
          <t>#38BDF8</t>
        </is>
      </c>
      <c r="F7" s="4" t="n">
        <v>200</v>
      </c>
      <c r="G7" s="4" t="inlineStr">
        <is>
          <t>Sortir Data — 6 kartu pendaftar, Simpan atau Buang</t>
        </is>
      </c>
      <c r="H7" s="4" t="n">
        <v>6</v>
      </c>
      <c r="I7" s="4" t="inlineStr">
        <is>
          <t>Data pendaftar open house berantakan.</t>
        </is>
      </c>
      <c r="J7" s="4" t="inlineStr">
        <is>
          <t>Ada kartu yang isinya aneh. Simpan kartu yang benar, buang yang rusak. Data Scientist selalu membersihkan data dulu sebelum membaca grafik.</t>
        </is>
      </c>
      <c r="K7" s="4" t="inlineStr">
        <is>
          <t>Kartu satu per satu (nama, umur, minat); nilai aneh ditandai kuning; grafik minat muncul setelah semua disortir</t>
        </is>
      </c>
      <c r="L7" s="4" t="inlineStr">
        <is>
          <t>Data kotor, keputusan keliru</t>
        </is>
      </c>
      <c r="M7" s="4" t="inlineStr">
        <is>
          <t>/room/dataScience</t>
        </is>
      </c>
    </row>
    <row r="8">
      <c r="A8" s="7" t="n">
        <v>4</v>
      </c>
      <c r="B8" s="7" t="inlineStr">
        <is>
          <t>gameDev</t>
        </is>
      </c>
      <c r="C8" s="7" t="inlineStr">
        <is>
          <t>Game Development</t>
        </is>
      </c>
      <c r="D8" s="5" t="inlineStr">
        <is>
          <t>Core</t>
        </is>
      </c>
      <c r="E8" s="10" t="inlineStr">
        <is>
          <t>#E879F9</t>
        </is>
      </c>
      <c r="F8" s="7" t="n">
        <v>200</v>
      </c>
      <c r="G8" s="7" t="inlineStr">
        <is>
          <t>Lompat Tepat Waktu — tekan Lompat saat penanda di zona hijau, 3x</t>
        </is>
      </c>
      <c r="H8" s="7" t="n">
        <v>3</v>
      </c>
      <c r="I8" s="7" t="inlineStr">
        <is>
          <t>Karakter game-nya harus melompati jurang.</t>
        </is>
      </c>
      <c r="J8" s="7" t="inlineStr">
        <is>
          <t>Penanda bergerak bolak-balik. Tekan Lompat! tepat saat penanda berada di zona hijau. Berhasil 3 kali untuk membuka pintu.</t>
        </is>
      </c>
      <c r="K8" s="7" t="inlineStr">
        <is>
          <t>Lintasan dengan penanda bergerak (AnimationController 1.1 detik bolak-balik), zona hijau 40–60%, hitungan tepat/meleset</t>
        </is>
      </c>
      <c r="L8" s="7" t="inlineStr">
        <is>
          <t>Semua game punya satu loop</t>
        </is>
      </c>
      <c r="M8" s="7" t="inlineStr">
        <is>
          <t>/room/gameDev</t>
        </is>
      </c>
    </row>
    <row r="9">
      <c r="A9" s="4" t="n">
        <v>5</v>
      </c>
      <c r="B9" s="4" t="inlineStr">
        <is>
          <t>mobileDev</t>
        </is>
      </c>
      <c r="C9" s="4" t="inlineStr">
        <is>
          <t>Mobile App Development</t>
        </is>
      </c>
      <c r="D9" s="5" t="inlineStr">
        <is>
          <t>Core</t>
        </is>
      </c>
      <c r="E9" s="11" t="inlineStr">
        <is>
          <t>#A3E635</t>
        </is>
      </c>
      <c r="F9" s="4" t="n">
        <v>200</v>
      </c>
      <c r="G9" s="4" t="inlineStr">
        <is>
          <t>Rakit Layar Aplikasi — tap 4 komponen ke layar HP, urut atas ke bawah</t>
        </is>
      </c>
      <c r="H9" s="4" t="n">
        <v>4</v>
      </c>
      <c r="I9" s="4" t="inlineStr">
        <is>
          <t>Layar aplikasi pendaftaran masih kosong.</t>
        </is>
      </c>
      <c r="J9" s="4" t="inlineStr">
        <is>
          <t>Tap komponen di bawah untuk memasangnya ke layar HP, dari paling atas ke paling bawah. Tap komponen di layar untuk melepasnya.</t>
        </is>
      </c>
      <c r="K9" s="4" t="inlineStr">
        <is>
          <t>Frame HP dengan 4 slot; pratinjau komponen langsung berubah (judul, gambar, teks, tombol)</t>
        </is>
      </c>
      <c r="L9" s="4" t="inlineStr">
        <is>
          <t>Aplikasi disusun dari komponen</t>
        </is>
      </c>
      <c r="M9" s="4" t="inlineStr">
        <is>
          <t>/room/mobileDev</t>
        </is>
      </c>
    </row>
    <row r="10">
      <c r="A10" s="7" t="n">
        <v>6</v>
      </c>
      <c r="B10" s="7" t="inlineStr">
        <is>
          <t>networking</t>
        </is>
      </c>
      <c r="C10" s="7" t="inlineStr">
        <is>
          <t>Jaringan Komputer</t>
        </is>
      </c>
      <c r="D10" s="5" t="inlineStr">
        <is>
          <t>Core</t>
        </is>
      </c>
      <c r="E10" s="12" t="inlineStr">
        <is>
          <t>#FB7185</t>
        </is>
      </c>
      <c r="F10" s="7" t="n">
        <v>200</v>
      </c>
      <c r="G10" s="7" t="inlineStr">
        <is>
          <t>Antar Paket — tap alat jaringan sesuai urutan dari Lab ke Server</t>
        </is>
      </c>
      <c r="H10" s="7" t="n">
        <v>4</v>
      </c>
      <c r="I10" s="7" t="inlineStr">
        <is>
          <t>Pesan dari Lab tidak sampai ke Server.</t>
        </is>
      </c>
      <c r="J10" s="7" t="inlineStr">
        <is>
          <t>Paket data harus dioper lewat alat-alat jaringan. Tap kotak sesuai urutan perjalanannya: mulai dari Lab, berakhir di Server.</t>
        </is>
      </c>
      <c r="K10" s="7" t="inlineStr">
        <is>
          <t>Peta jaringan: Lab – Router A (hidup) / Router B (mati) – Switch – Server; nomor urut muncul di kotak yang di-tap; panel penjelasan di bawah berubah mengikuti langkah (jadi petunjuk halus, mis. 'Router B sedang mati')</t>
        </is>
      </c>
      <c r="L10" s="7" t="inlineStr">
        <is>
          <t>Internet itu paket yang dioper</t>
        </is>
      </c>
      <c r="M10" s="7" t="inlineStr">
        <is>
          <t>/room/networking</t>
        </is>
      </c>
    </row>
    <row r="11">
      <c r="A11" s="4" t="n">
        <v>7</v>
      </c>
      <c r="B11" s="4" t="inlineStr">
        <is>
          <t>softwareEngineering</t>
        </is>
      </c>
      <c r="C11" s="4" t="inlineStr">
        <is>
          <t>Software Engineering</t>
        </is>
      </c>
      <c r="D11" s="5" t="inlineStr">
        <is>
          <t>Core</t>
        </is>
      </c>
      <c r="E11" s="13" t="inlineStr">
        <is>
          <t>#818CF8</t>
        </is>
      </c>
      <c r="F11" s="4" t="n">
        <v>200</v>
      </c>
      <c r="G11" s="4" t="inlineStr">
        <is>
          <t>Cari Bug — tap baris program yang salah, lalu pilih perbaikannya</t>
        </is>
      </c>
      <c r="H11" s="4" t="n">
        <v>2</v>
      </c>
      <c r="I11" s="4" t="inlineStr">
        <is>
          <t>Program pengumuman kelulusan salah hitung.</t>
        </is>
      </c>
      <c r="J11" s="4" t="inlineStr">
        <is>
          <t>Nilai 80 dengan batas 75 seharusnya lulus, tapi program bilang belum. Temukan baris yang salah, lalu pilih perbaikannya.</t>
        </is>
      </c>
      <c r="K11" s="4" t="inlineStr">
        <is>
          <t>6 baris pseudo-code bahasa Indonesia; baris terpilih disorot; pilihan perbaikan terbuka setelah baris benar ditemukan</t>
        </is>
      </c>
      <c r="L11" s="4" t="inlineStr">
        <is>
          <t>Mencari dan memperbaiki bug</t>
        </is>
      </c>
      <c r="M11" s="4" t="inlineStr">
        <is>
          <t>/room/softwareEngineering</t>
        </is>
      </c>
    </row>
    <row r="12">
      <c r="A12" s="7" t="n">
        <v>8</v>
      </c>
      <c r="B12" s="7" t="inlineStr">
        <is>
          <t>database</t>
        </is>
      </c>
      <c r="C12" s="7" t="inlineStr">
        <is>
          <t>Database Systems</t>
        </is>
      </c>
      <c r="D12" s="5" t="inlineStr">
        <is>
          <t>Core</t>
        </is>
      </c>
      <c r="E12" s="14" t="inlineStr">
        <is>
          <t>#FACC15</t>
        </is>
      </c>
      <c r="F12" s="7" t="n">
        <v>200</v>
      </c>
      <c r="G12" s="7" t="inlineStr">
        <is>
          <t>Cocokkan Data — tap siswa lalu tap kelas yang nomornya sama; kabel tersambung; posisi kartu diacak</t>
        </is>
      </c>
      <c r="H12" s="7" t="n">
        <v>6</v>
      </c>
      <c r="I12" s="7" t="inlineStr">
        <is>
          <t>Daftar siswa dan daftar kelas tersimpan terpisah.</t>
        </is>
      </c>
      <c r="J12" s="7" t="inlineStr">
        <is>
          <t>Sambungkan kabel dari tiap siswa ke kelasnya: tap nama siswa, lalu tap kelas yang nomornya sama. Tap siswa lagi untuk mencabut kabelnya.</t>
        </is>
      </c>
      <c r="K12" s="7" t="inlineStr">
        <is>
          <t>Dua kolom: 6 kartu siswa (kelas_id) dan 5 kartu kelas (id) berwarna, urutan diacak tiap buka/reset; kabel melengkung digambar antar kartu yang terhubung</t>
        </is>
      </c>
      <c r="L12" s="7" t="inlineStr">
        <is>
          <t>Tabel terpisah, dihubungkan kunci</t>
        </is>
      </c>
      <c r="M12" s="7" t="inlineStr">
        <is>
          <t>/room/database</t>
        </is>
      </c>
    </row>
    <row r="13">
      <c r="A13" s="4" t="n">
        <v>9</v>
      </c>
      <c r="B13" s="4" t="inlineStr">
        <is>
          <t>bonusAi</t>
        </is>
      </c>
      <c r="C13" s="4" t="inlineStr">
        <is>
          <t>AI &amp; Machine Learning</t>
        </is>
      </c>
      <c r="D13" s="15" t="inlineStr">
        <is>
          <t>Bonus</t>
        </is>
      </c>
      <c r="E13" s="16" t="inlineStr">
        <is>
          <t>#A78BFA</t>
        </is>
      </c>
      <c r="F13" s="4" t="n">
        <v>150</v>
      </c>
      <c r="G13" s="4" t="inlineStr">
        <is>
          <t>Latih AI-mu — 2 tahap: Latih 10 contoh (dikoreksi) lalu Uji 15 contoh baru (tanpa koreksi), 5 hewan, lulus ≥11/15</t>
        </is>
      </c>
      <c r="H13" s="4" t="n">
        <v>2</v>
      </c>
      <c r="I13" s="4" t="inlineStr">
        <is>
          <t>AI-nya masih bayi, belum kenal hewan satu pun.</t>
        </is>
      </c>
      <c r="J13" s="4" t="inlineStr">
        <is>
          <t>Tahap 1 Latih: baca cirinya, tap nama hewannya; AI langsung memberi tahu benar/salah. Tahap 2 Uji: 15 contoh baru tanpa koreksi, lulus kalau minimal 11 benar.</t>
        </is>
      </c>
      <c r="K13" s="4" t="inlineStr">
        <is>
          <t>Kartu ciri satu per satu; 5 tombol hewan (Kucing, Anjing, Burung, Ikan, Kelinci); 30 ciri di pool, diacak: 10 latih + 15 uji; tombol utama 'Selesai Latih' lalu 'Uji AI'</t>
        </is>
      </c>
      <c r="L13" s="4" t="inlineStr">
        <is>
          <t>AI belajar dari contoh</t>
        </is>
      </c>
      <c r="M13" s="4" t="inlineStr">
        <is>
          <t>/room/bonusAi</t>
        </is>
      </c>
    </row>
    <row r="14">
      <c r="A14" s="7" t="n">
        <v>10</v>
      </c>
      <c r="B14" s="7" t="inlineStr">
        <is>
          <t>bonusCyber</t>
        </is>
      </c>
      <c r="C14" s="7" t="inlineStr">
        <is>
          <t>Cyber Security</t>
        </is>
      </c>
      <c r="D14" s="15" t="inlineStr">
        <is>
          <t>Bonus</t>
        </is>
      </c>
      <c r="E14" s="17" t="inlineStr">
        <is>
          <t>#F97316</t>
        </is>
      </c>
      <c r="F14" s="7" t="n">
        <v>200</v>
      </c>
      <c r="G14" s="7" t="inlineStr">
        <is>
          <t>Pecahkan Sandi — geser huruf (Caesar) lalu pilih password paling aman</t>
        </is>
      </c>
      <c r="H14" s="7" t="n">
        <v>2</v>
      </c>
      <c r="I14" s="7" t="inlineStr">
        <is>
          <t>Ini pintu terakhir.</t>
        </is>
      </c>
      <c r="J14" s="7" t="inlineStr">
        <is>
          <t>Pesan rahasia tersandi dengan jarak geser acak (1–10). Geser hurufnya sampai terbaca, lalu pilih password yang paling aman untuk mengunci brankas.</t>
        </is>
      </c>
      <c r="K14" s="7" t="inlineStr">
        <is>
          <t>Stepper −/+ untuk shift 0–10 (maks 10 putaran), jarak geser rahasia diacak tiap buka/reset; 5 kotak hasil (teal saat benar); pilihan password terbuka setelah sandi terpecahkan; tombol 'Buka Brankas'</t>
        </is>
      </c>
      <c r="L14" s="7" t="inlineStr">
        <is>
          <t>Keamanan itu kebiasaan</t>
        </is>
      </c>
      <c r="M14" s="7" t="inlineStr">
        <is>
          <t>/room/bonusCyber</t>
        </is>
      </c>
    </row>
    <row r="16">
      <c r="A16" s="2" t="inlineStr">
        <is>
          <t>Catatan: Core room terbuka berurutan (1→8). Kedua bonus room terbuka bersamaan setelah 8 core selesai. XP base = RoomMeta.xpReward.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26" customWidth="1" min="4" max="4"/>
    <col width="36" customWidth="1" min="5" max="5"/>
    <col width="30" customWidth="1" min="6" max="6"/>
    <col width="22" customWidth="1" min="7" max="7"/>
    <col width="40" customWidth="1" min="8" max="8"/>
  </cols>
  <sheetData>
    <row r="1">
      <c r="A1" s="1" t="inlineStr">
        <is>
          <t>Kunci Jawaban per Ruangan</t>
        </is>
      </c>
    </row>
    <row r="2">
      <c r="A2" s="2" t="inlineStr">
        <is>
          <t>RAHASIA PANITIA — jangan dibagikan ke peserta. Urutan tahap 1 harus persis (1,2,3,...).</t>
        </is>
      </c>
    </row>
    <row r="4">
      <c r="A4" s="18" t="inlineStr">
        <is>
          <t>No</t>
        </is>
      </c>
      <c r="B4" s="18" t="inlineStr">
        <is>
          <t>Nama Ruangan</t>
        </is>
      </c>
      <c r="C4" s="18" t="inlineStr">
        <is>
          <t>Jawaban utama</t>
        </is>
      </c>
      <c r="D4" s="18" t="inlineStr">
        <is>
          <t>Catatan / jebakan</t>
        </is>
      </c>
      <c r="E4" s="18" t="inlineStr">
        <is>
          <t>Tahap 2 — Pertanyaan</t>
        </is>
      </c>
      <c r="F4" s="18" t="inlineStr">
        <is>
          <t>Tahap 2 — Pilihan</t>
        </is>
      </c>
      <c r="G4" s="18" t="inlineStr">
        <is>
          <t>Tahap 2 — Jawaban Benar</t>
        </is>
      </c>
      <c r="H4" s="18" t="inlineStr">
        <is>
          <t>Pesan Sukses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1. Salah satu jawaban: Atas, Atas, Kanan, Kanan, Kanan (semua rute yang sampai bendera tanpa menabrak diterima)</t>
        </is>
      </c>
      <c r="D5" s="4" t="inlineStr">
        <is>
          <t>Tembok di (1,2) dan (2,1)</t>
        </is>
      </c>
      <c r="E5" s="4" t="inlineStr">
        <is>
          <t>—</t>
        </is>
      </c>
      <c r="F5" s="4" t="inlineStr">
        <is>
          <t>—</t>
        </is>
      </c>
      <c r="G5" s="19" t="inlineStr">
        <is>
          <t>—</t>
        </is>
      </c>
      <c r="H5" s="4" t="inlineStr">
        <is>
          <t>Robot sampai! Itulah algoritma: langkah jelas, hasil pasti.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1. Pasangan 1: A (tombol besar)
2. Pasangan 2: B (teks kontras tinggi)
3. Pasangan 3: A (menu berlabel)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—</t>
        </is>
      </c>
      <c r="G6" s="20" t="inlineStr">
        <is>
          <t>—</t>
        </is>
      </c>
      <c r="H6" s="7" t="inlineStr">
        <is>
          <t>Tepat semua! Desain yang baik terasa gampang tanpa perlu dijelaskan.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1. Aisyah 17 → Simpan
2. Bima 250 → Buang
3. Citra 16 → Simpan
4. (nama kosong) 17 → Buang
5. Dion 18 → Simpan
6. Eka -3 → Buang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19" t="inlineStr">
        <is>
          <t>—</t>
        </is>
      </c>
      <c r="H7" s="4" t="inlineStr">
        <is>
          <t>Data bersih! Sekarang grafiknya bisa dipercaya.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1. 3 lompatan tepat di zona hijau (40–60% lintasan)</t>
        </is>
      </c>
      <c r="D8" s="7" t="inlineStr">
        <is>
          <t>Meleset tidak dihitung salah, hanya statistik</t>
        </is>
      </c>
      <c r="E8" s="7" t="inlineStr">
        <is>
          <t>—</t>
        </is>
      </c>
      <c r="F8" s="7" t="inlineStr">
        <is>
          <t>—</t>
        </is>
      </c>
      <c r="G8" s="20" t="inlineStr">
        <is>
          <t>—</t>
        </is>
      </c>
      <c r="H8" s="7" t="inlineStr">
        <is>
          <t>Mantap! Timing pas = game terasa responsif.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1. Judul aplikasi
2. Gambar kampus
3. Keterangan
4. Tombol 'Daftar'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19" t="inlineStr">
        <is>
          <t>—</t>
        </is>
      </c>
      <c r="H9" s="4" t="inlineStr">
        <is>
          <t>Layar jadi! Developer mobile menyusun layar persis seperti ini.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1. Lab
2. Router A
3. Switch
4. Server</t>
        </is>
      </c>
      <c r="D10" s="7" t="inlineStr">
        <is>
          <t>Router B (mati)</t>
        </is>
      </c>
      <c r="E10" s="7" t="inlineStr">
        <is>
          <t>—</t>
        </is>
      </c>
      <c r="F10" s="7" t="inlineStr">
        <is>
          <t>—</t>
        </is>
      </c>
      <c r="G10" s="20" t="inlineStr">
        <is>
          <t>—</t>
        </is>
      </c>
      <c r="H10" s="7" t="inlineStr">
        <is>
          <t>Paket sampai ke Server! Begitulah pesan WhatsApp-mu berjalan tiap hari.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1. Baris 3: jika nilai &lt; batas_lulus:</t>
        </is>
      </c>
      <c r="D11" s="4" t="inlineStr">
        <is>
          <t>—</t>
        </is>
      </c>
      <c r="E11" s="4" t="inlineStr">
        <is>
          <t>Ganti baris itu dengan…</t>
        </is>
      </c>
      <c r="F11" s="4" t="inlineStr">
        <is>
          <t>jika nilai &gt;= batas_lulus:
jika nilai == batas_lulus:
jika nilai &lt; 100:</t>
        </is>
      </c>
      <c r="G11" s="19" t="inlineStr">
        <is>
          <t>jika nilai &gt;= batas_lulus:</t>
        </is>
      </c>
      <c r="H11" s="4" t="inlineStr">
        <is>
          <t>Bug ketemu dan diperbaiki!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1. Aisyah → X IPA 1 (10)
2. Bima → X IPA 2 (11)
3. Citra → X IPS 1 (12)
4. Dion → X IPA 1 (10)
5. Eka → XI IPA 1 (13)
6. Fajar → XI IPS 2 (14)</t>
        </is>
      </c>
      <c r="D12" s="7" t="inlineStr">
        <is>
          <t>Posisi kartu diacak — jawaban berdasarkan angka, bukan urutan</t>
        </is>
      </c>
      <c r="E12" s="7" t="inlineStr">
        <is>
          <t>—</t>
        </is>
      </c>
      <c r="F12" s="7" t="inlineStr">
        <is>
          <t>—</t>
        </is>
      </c>
      <c r="G12" s="20" t="inlineStr">
        <is>
          <t>—</t>
        </is>
      </c>
      <c r="H12" s="7" t="inlineStr">
        <is>
          <t>Semua kabel tersambung benar! Begitulah database menggabungkan dua tabel lewat satu nomor kunci.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1. Soal diacak dari 30 ciri (6 per hewan). Kunci per ciri: meong/kumis/mendengkur/laser/pasir/cakar = Kucing; guk guk/bola/lidah/salaman/menggonggong/tali = Anjing; paruh/berkicau/bulu halus/biji-bijian/migrasi/mengepak = Burung; insang/sisik/bertelur di air/akuarium/tidak berkedip/bergerombol = Ikan; telinga panjang/melompat/hidung bergerak/liang/kaki belakang/mengunyah = Kelinci</t>
        </is>
      </c>
      <c r="D13" s="4" t="inlineStr">
        <is>
          <t>Tahap Latih (10 soal) dikoreksi langsung; tahap Uji (15 soal) lulus jika ≥ 11 benar</t>
        </is>
      </c>
      <c r="E13" s="4" t="inlineStr">
        <is>
          <t>—</t>
        </is>
      </c>
      <c r="F13" s="4" t="inlineStr">
        <is>
          <t>—</t>
        </is>
      </c>
      <c r="G13" s="19" t="inlineStr">
        <is>
          <t>—</t>
        </is>
      </c>
      <c r="H13" s="4" t="inlineStr">
        <is>
          <t>Akurasi N/15! AI-mu lulus uji dan bisa mengenali 5 hewan.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1. Kata rahasia selalu BINUS; jarak geser diacak 1–10 tiap kali ruangan dibuka (mis. shift 3: ELQXV, shift 7: IPUBZ). Geser sampai huruf pertama jadi B.</t>
        </is>
      </c>
      <c r="D14" s="7" t="inlineStr">
        <is>
          <t>Maksimal 10 putaran</t>
        </is>
      </c>
      <c r="E14" s="7" t="inlineStr">
        <is>
          <t>Password mana yang paling aman?</t>
        </is>
      </c>
      <c r="F14" s="7" t="inlineStr">
        <is>
          <t>binus123
Kampus@Bekasi#2026
password</t>
        </is>
      </c>
      <c r="G14" s="20" t="inlineStr">
        <is>
          <t>Kampus@Bekasi#2026</t>
        </is>
      </c>
      <c r="H14" s="7" t="inlineStr">
        <is>
          <t>Brankas terbuka! Kampus aman di tanganmu.</t>
        </is>
      </c>
    </row>
    <row r="16">
      <c r="A16" s="2" t="inlineStr">
        <is>
          <t>Ruang 1 menerima semua rute yang sampai bendera; Ruang 4 butuh 3 lompatan tepat; Ruang 9 lolos jika &gt;= 5 dari 6 benar.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Petunjuk Bertingkat (3 per ruangan)</t>
        </is>
      </c>
    </row>
    <row r="2">
      <c r="A2" s="2" t="inlineStr">
        <is>
          <t>Setiap petunjuk baru yang dibuka = penalti 25 XP. Membaca ulang petunjuk yang sudah terbuka gratis.</t>
        </is>
      </c>
    </row>
    <row r="4">
      <c r="A4" s="3" t="inlineStr">
        <is>
          <t>No</t>
        </is>
      </c>
      <c r="B4" s="3" t="inlineStr">
        <is>
          <t>Nama Ruangan</t>
        </is>
      </c>
      <c r="C4" s="3" t="inlineStr">
        <is>
          <t>Petunjuk 1 (umum)</t>
        </is>
      </c>
      <c r="D4" s="3" t="inlineStr">
        <is>
          <t>Petunjuk 2 (lebih spesifik)</t>
        </is>
      </c>
      <c r="E4" s="3" t="inlineStr">
        <is>
          <t>Petunjuk 3 (hampir jawaban / tahap 2)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Robot mengikuti perintah persis sesuai urutan, satu kotak per panah. Hitung dulu berapa kotak ke atas dan ke kanan.</t>
        </is>
      </c>
      <c r="D5" s="4" t="inlineStr">
        <is>
          <t>Kotak gelap adalah tembok. Dari posisi awal, coba naik dulu dua kali, baru belok kanan.</t>
        </is>
      </c>
      <c r="E5" s="4" t="inlineStr">
        <is>
          <t>Salah satu jawaban: ↑ ↑ → → →. Tekan Jalankan Robot untuk melihatnya bergerak.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Bayangkan aplikasinya dipakai kakek atau nenekmu. Mana yang tidak bikin mereka bingung?</t>
        </is>
      </c>
      <c r="D6" s="7" t="inlineStr">
        <is>
          <t>Tombol: lebih besar lebih aman. Tulisan: kontras tinggi lebih terbaca. Menu: ada label lebih jelas.</t>
        </is>
      </c>
      <c r="E6" s="7" t="inlineStr">
        <is>
          <t>Jawaban: pasangan 1 pilih yang kiri, pasangan 2 pilih yang kanan, pasangan 3 pilih yang kiri.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Tanya dua hal untuk tiap kartu: apakah umurnya masuk akal untuk siswa SMA, dan apakah namanya terisi?</t>
        </is>
      </c>
      <c r="D7" s="4" t="inlineStr">
        <is>
          <t>Umur 250 atau minus jelas salah. Nama kosong juga tidak bisa dipakai.</t>
        </is>
      </c>
      <c r="E7" s="4" t="inlineStr">
        <is>
          <t>Yang harus dibuang: kartu Bima (umur 250), kartu tanpa nama, dan kartu Eka (umur -3). Sisanya disimpan.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Perhatikan ritmenya dulu beberapa detik tanpa menekan apa-apa. Penanda bergerak dengan kecepatan tetap.</t>
        </is>
      </c>
      <c r="D8" s="7" t="inlineStr">
        <is>
          <t>Tekan sedikit lebih awal dari yang kamu kira, karena jari butuh waktu untuk bereaksi.</t>
        </is>
      </c>
      <c r="E8" s="7" t="inlineStr">
        <is>
          <t>Zona hijau ada di tengah. Saat penanda bergerak dari kiri, tekan tepat ketika ujung kirinya menyentuh zona.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Lihat aplikasi di HP-mu: biasanya yang paling atas adalah judul, dan tombol aksi ada di paling bawah.</t>
        </is>
      </c>
      <c r="D9" s="4" t="inlineStr">
        <is>
          <t>Gambar biasanya ditaruh sebelum keterangan, supaya orang tertarik dulu baru membaca.</t>
        </is>
      </c>
      <c r="E9" s="4" t="inlineStr">
        <is>
          <t>Urutan dari atas: Judul aplikasi → Gambar kampus → Keterangan → Tombol Daftar.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Paket selalu berangkat dari Lab dan berakhir di Server. Di antaranya ada 2 alat yang harus dilewati.</t>
        </is>
      </c>
      <c r="D10" s="7" t="inlineStr">
        <is>
          <t>Router adalah polisi lalu lintas yang meneruskan paket. Pilih router yang lampunya hijau (hidup), bukan merah (mati).</t>
        </is>
      </c>
      <c r="E10" s="7" t="inlineStr">
        <is>
          <t>Rutenya: Lab → Router A → Switch → Server.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Baca programnya seperti kalimat biasa dari atas ke bawah. Di baris mana komputer memutuskan lulus atau tidak?</t>
        </is>
      </c>
      <c r="D11" s="4" t="inlineStr">
        <is>
          <t>Perhatikan tanda pembandingnya. &lt; artinya lebih kecil. Apakah 80 lebih kecil dari 75?</t>
        </is>
      </c>
      <c r="E11" s="4" t="inlineStr">
        <is>
          <t>Baris ke-3 salah. Tanda &lt; harus diganti &gt;= (lebih besar atau sama dengan).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Tiap kartu siswa punya angka kelas_id. Tiap kartu kelas punya angka id. Angka yang sama = pasangan. Posisi kartu diacak, jadi lihat angkanya, bukan urutannya.</t>
        </is>
      </c>
      <c r="D12" s="7" t="inlineStr">
        <is>
          <t>Dua siswa boleh masuk kelas yang sama — satu kelas bisa menerima lebih dari satu kabel.</t>
        </is>
      </c>
      <c r="E12" s="7" t="inlineStr">
        <is>
          <t>Jawaban: Aisyah &amp; Dion → X IPA 1 (10), Bima → X IPA 2 (11), Citra → X IPS 1 (12), Eka → XI IPA 1 (13), Fajar → XI IPS 2 (14).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Fokus ke satu ciri paling khas di tiap kartu: suara, cara bergerak, atau tempat tinggalnya.</t>
        </is>
      </c>
      <c r="D13" s="4" t="inlineStr">
        <is>
          <t>Kucing: meong, kumis, mendengkur. Anjing: guk guk, bola, lidah. Burung: paruh, sayap, berkicau. Ikan: insang, sirip, air. Kelinci: telinga panjang, wortel, melompat.</t>
        </is>
      </c>
      <c r="E13" s="4" t="inlineStr">
        <is>
          <t>Saat tahap Latih, perhatikan koreksinya — ciri yang sama akan muncul lagi dengan kalimat berbeda saat Uji. Butuh 11 dari 15 benar untuk lulus.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Sandi Caesar menggeser setiap huruf dengan jarak yang sama. Coba naikkan angkanya satu per satu (maksimal 10) dan lihat kotak hasilnya.</t>
        </is>
      </c>
      <c r="D14" s="7" t="inlineStr">
        <is>
          <t>Kata rahasianya adalah nama kampus tempat kamu berada sekarang, 5 huruf. Jarak gesernya berbeda tiap kali ruangan dibuka.</t>
        </is>
      </c>
      <c r="E14" s="7" t="inlineStr">
        <is>
          <t>Perhatikan huruf pertama: geser sampai huruf pertamanya jadi B, sisanya otomatis terbaca. Password paling aman adalah yang panjang dan ada simbolnya.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60" customWidth="1" min="4" max="4"/>
  </cols>
  <sheetData>
    <row r="1">
      <c r="A1" s="1" t="inlineStr">
        <is>
          <t>Pesan Banner saat Jawaban Belum Lengkap / Salah</t>
        </is>
      </c>
    </row>
    <row r="2">
      <c r="A2" s="2" t="inlineStr">
        <is>
          <t>Pesan mengarahkan, bukan memberi jawaban. Sumber: RoomScaffold + onCheck tiap ruangan.</t>
        </is>
      </c>
    </row>
    <row r="4">
      <c r="A4" s="21" t="inlineStr">
        <is>
          <t>No</t>
        </is>
      </c>
      <c r="B4" s="21" t="inlineStr">
        <is>
          <t>Nama Ruangan</t>
        </is>
      </c>
      <c r="C4" s="21" t="inlineStr">
        <is>
          <t>Belum lengkap (banner kuning)</t>
        </is>
      </c>
      <c r="D4" s="21" t="inlineStr">
        <is>
          <t>Salah (banner merah)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Belum ada perintah. Tap tombol panah untuk menyusun langkah robot.</t>
        </is>
      </c>
      <c r="D5" s="4" t="inlineStr">
        <is>
          <t>Robot menabrak tembok atau keluar papan / Robot berhenti sebelum sampai bendera.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Masih ada N perbandingan yang belum dipilih.</t>
        </is>
      </c>
      <c r="D6" s="7" t="inlineStr">
        <is>
          <t>Perbandingan N belum tepat. Bayangkan dipakai orang yang terburu-buru atau matanya kurang awas.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Masih ada N kartu yang belum disortir.</t>
        </is>
      </c>
      <c r="D7" s="4" t="inlineStr">
        <is>
          <t>Ada N kartu yang salah sortir. Cek lagi: umur masuk akal? nama terisi?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Butuh 3 lompatan tepat di zona hijau. Sekarang baru N.</t>
        </is>
      </c>
      <c r="D8" s="7" t="inlineStr">
        <is>
          <t>(tidak ada banner salah; meleset ditampilkan sebagai 'Terlalu cepat/lambat')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Layar belum lengkap, masih ada N komponen di bawah.</t>
        </is>
      </c>
      <c r="D9" s="4" t="inlineStr">
        <is>
          <t>Susunannya belum pas. Bayangkan app yang nyaman: judul di atas, tombol aksi di bawah.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Mulai dengan tap kotak Lab / Rute belum sampai Server.</t>
        </is>
      </c>
      <c r="D10" s="7" t="inlineStr">
        <is>
          <t>Paket nyasar. Router B sedang mati (lampu merah) — lewati yang lampunya hijau.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Tap dulu baris program yang menurutmu salah / Pilih perbaikannya.</t>
        </is>
      </c>
      <c r="D11" s="4" t="inlineStr">
        <is>
          <t>Bukan baris itu… / Perbaikan itu belum tepat. Siswa lulus kalau nilainya sama atau lebih besar dari batas.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Masih ada N siswa yang belum tersambung ke kelas.</t>
        </is>
      </c>
      <c r="D12" s="7" t="inlineStr">
        <is>
          <t>Ada N kabel yang salah sambung. Cocokkan angka kelas_id dengan id.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Latih dulu: masih N contoh yang belum diberi label. / Latihan selesai! Sekarang AI-mu diuji dengan 15 contoh baru. / Masih N contoh uji yang belum dijawab.</t>
        </is>
      </c>
      <c r="D13" s="4" t="inlineStr">
        <is>
          <t>Akurasi uji baru N dari 15 (butuh minimal 11). Tap nomor contoh untuk memperbaiki jawaban, lalu uji lagi.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Sandi terpecahkan! Sekarang pilih password yang paling aman.</t>
        </is>
      </c>
      <c r="D14" s="7" t="inlineStr">
        <is>
          <t>Sandi belum terbaca… / Password itu gampang ditebak. Yang aman: panjang, campur huruf, angka, simbol.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9" customWidth="1" min="7" max="7"/>
  </cols>
  <sheetData>
    <row r="1">
      <c r="A1" s="1" t="inlineStr">
        <is>
          <t>Aturan Skor &amp; Bintang (ScoreCalculator)</t>
        </is>
      </c>
    </row>
    <row r="2">
      <c r="A2" s="2" t="inlineStr">
        <is>
          <t>Sel biru = parameter yang bisa diubah (harus sinkron dengan lib/domain/engines/puzzle_engine.dart). Sel hitam = rumus. Tidak ada bonus/batas waktu.</t>
        </is>
      </c>
    </row>
    <row r="4">
      <c r="A4" s="3" t="inlineStr">
        <is>
          <t>Parameter</t>
        </is>
      </c>
      <c r="B4" s="3" t="inlineStr">
        <is>
          <t>Nilai</t>
        </is>
      </c>
    </row>
    <row r="5">
      <c r="A5" s="22" t="inlineStr">
        <is>
          <t>Base XP core room</t>
        </is>
      </c>
      <c r="B5" s="23" t="n">
        <v>200</v>
      </c>
    </row>
    <row r="6">
      <c r="A6" s="22" t="inlineStr">
        <is>
          <t>Base XP bonus AI</t>
        </is>
      </c>
      <c r="B6" s="23" t="n">
        <v>150</v>
      </c>
    </row>
    <row r="7">
      <c r="A7" s="22" t="inlineStr">
        <is>
          <t>Base XP bonus Cyber</t>
        </is>
      </c>
      <c r="B7" s="23" t="n">
        <v>200</v>
      </c>
    </row>
    <row r="8">
      <c r="A8" s="22" t="inlineStr">
        <is>
          <t>Penalti per petunjuk</t>
        </is>
      </c>
      <c r="B8" s="23" t="n">
        <v>25</v>
      </c>
    </row>
    <row r="9">
      <c r="A9" s="22" t="inlineStr">
        <is>
          <t>Penalti per jawaban salah</t>
        </is>
      </c>
      <c r="B9" s="23" t="n">
        <v>10</v>
      </c>
    </row>
    <row r="11">
      <c r="A11" s="24" t="inlineStr">
        <is>
          <t>Rumus:</t>
        </is>
      </c>
    </row>
    <row r="12">
      <c r="A12" s="25" t="inlineStr">
        <is>
          <t>skor = base − (hint × penaltiHint) − (salah × penaltiSalah), dibatasi [base/2, base]</t>
        </is>
      </c>
    </row>
    <row r="13">
      <c r="A13" s="25" t="inlineStr">
        <is>
          <t>bintang = 3 (hint 0 &amp; salah ≤ 1) · 2 (hint ≤ 1 &amp; salah ≤ 3) · 1 (sisanya). Skor hanya masuk saat ruangan pertama kali selesai.</t>
        </is>
      </c>
    </row>
    <row r="15">
      <c r="A15" s="24" t="inlineStr">
        <is>
          <t>Simulasi (ubah kolom biru)</t>
        </is>
      </c>
    </row>
    <row r="16">
      <c r="A16" s="3" t="inlineStr">
        <is>
          <t>Contoh</t>
        </is>
      </c>
      <c r="B16" s="3" t="inlineStr">
        <is>
          <t>Base XP</t>
        </is>
      </c>
      <c r="C16" s="3" t="inlineStr">
        <is>
          <t>Hint dipakai</t>
        </is>
      </c>
      <c r="D16" s="3" t="inlineStr">
        <is>
          <t>Jawaban salah</t>
        </is>
      </c>
      <c r="E16" s="3" t="inlineStr">
        <is>
          <t>Penalti</t>
        </is>
      </c>
      <c r="F16" s="3" t="inlineStr">
        <is>
          <t>Skor akhir</t>
        </is>
      </c>
      <c r="G16" s="3" t="inlineStr">
        <is>
          <t>Bintang</t>
        </is>
      </c>
    </row>
    <row r="17">
      <c r="A17" s="22" t="inlineStr">
        <is>
          <t>Tanpa hint</t>
        </is>
      </c>
      <c r="B17" s="26" t="n">
        <v>200</v>
      </c>
      <c r="C17" s="26" t="n">
        <v>0</v>
      </c>
      <c r="D17" s="26" t="n">
        <v>0</v>
      </c>
      <c r="E17" s="22">
        <f>C17*$B$8+D17*$B$9</f>
        <v/>
      </c>
      <c r="F17" s="27">
        <f>MAX(INT(B17/2),B17-E17)</f>
        <v/>
      </c>
      <c r="G17" s="22">
        <f>IF(AND(C17=0,D17&lt;=1),3,IF(AND(C17&lt;=1,D17&lt;=3),2,1))</f>
        <v/>
      </c>
    </row>
    <row r="18">
      <c r="A18" s="22" t="inlineStr">
        <is>
          <t>Normal</t>
        </is>
      </c>
      <c r="B18" s="26" t="n">
        <v>200</v>
      </c>
      <c r="C18" s="26" t="n">
        <v>1</v>
      </c>
      <c r="D18" s="26" t="n">
        <v>1</v>
      </c>
      <c r="E18" s="22">
        <f>C18*$B$8+D18*$B$9</f>
        <v/>
      </c>
      <c r="F18" s="27">
        <f>MAX(INT(B18/2),B18-E18)</f>
        <v/>
      </c>
      <c r="G18" s="22">
        <f>IF(AND(C18=0,D18&lt;=1),3,IF(AND(C18&lt;=1,D18&lt;=3),2,1))</f>
        <v/>
      </c>
    </row>
    <row r="19">
      <c r="A19" s="22" t="inlineStr">
        <is>
          <t>Banyak hint</t>
        </is>
      </c>
      <c r="B19" s="26" t="n">
        <v>200</v>
      </c>
      <c r="C19" s="26" t="n">
        <v>3</v>
      </c>
      <c r="D19" s="26" t="n">
        <v>5</v>
      </c>
      <c r="E19" s="22">
        <f>C19*$B$8+D19*$B$9</f>
        <v/>
      </c>
      <c r="F19" s="27">
        <f>MAX(INT(B19/2),B19-E19)</f>
        <v/>
      </c>
      <c r="G19" s="22">
        <f>IF(AND(C19=0,D19&lt;=1),3,IF(AND(C19&lt;=1,D19&lt;=3),2,1))</f>
        <v/>
      </c>
    </row>
    <row r="20">
      <c r="A20" s="22" t="inlineStr">
        <is>
          <t>Bonus AI</t>
        </is>
      </c>
      <c r="B20" s="26" t="n">
        <v>150</v>
      </c>
      <c r="C20" s="26" t="n">
        <v>0</v>
      </c>
      <c r="D20" s="26" t="n">
        <v>1</v>
      </c>
      <c r="E20" s="22">
        <f>C20*$B$8+D20*$B$9</f>
        <v/>
      </c>
      <c r="F20" s="27">
        <f>MAX(INT(B20/2),B20-E20)</f>
        <v/>
      </c>
      <c r="G20" s="22">
        <f>IF(AND(C20=0,D20&lt;=1),3,IF(AND(C20&lt;=1,D20&lt;=3),2,1))</f>
        <v/>
      </c>
    </row>
    <row r="21">
      <c r="A21" s="22" t="inlineStr">
        <is>
          <t>Cyber, 2 hint</t>
        </is>
      </c>
      <c r="B21" s="26" t="n">
        <v>200</v>
      </c>
      <c r="C21" s="26" t="n">
        <v>2</v>
      </c>
      <c r="D21" s="26" t="n">
        <v>2</v>
      </c>
      <c r="E21" s="22">
        <f>C21*$B$8+D21*$B$9</f>
        <v/>
      </c>
      <c r="F21" s="27">
        <f>MAX(INT(B21/2),B21-E21)</f>
        <v/>
      </c>
      <c r="G21" s="22">
        <f>IF(AND(C21=0,D21&lt;=1),3,IF(AND(C21&lt;=1,D21&lt;=3),2,1))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70" customWidth="1" min="4" max="4"/>
    <col width="30" customWidth="1" min="5" max="5"/>
  </cols>
  <sheetData>
    <row r="1">
      <c r="A1" s="1" t="inlineStr">
        <is>
          <t>Tab Kampus — Fakta singkat SoCS / CSSE BINUS @Bekasi</t>
        </is>
      </c>
    </row>
    <row r="2">
      <c r="A2" s="2" t="inlineStr">
        <is>
          <t>Bagian 'Fakta singkat' (bergulir) di halaman Kenali BINUS @Bekasi. Bagian lain (video, tentang, journey, dosen, HIMTI) ada di lib/data/models/socs_profile.dart. Sumber: binus.ac.id/bekasi/csse, binus.ac.id/bekasi &amp; socs.binus.ac.id (diakses 14 Okt 2026). Data: lib/data/models/socs_fact.dart. Foto fasilitas asli: assets/images/gallery/campus_01..05.jpg</t>
        </is>
      </c>
    </row>
    <row r="4">
      <c r="A4" s="28" t="inlineStr">
        <is>
          <t>#</t>
        </is>
      </c>
      <c r="B4" s="28" t="inlineStr">
        <is>
          <t>Kategori</t>
        </is>
      </c>
      <c r="C4" s="28" t="inlineStr">
        <is>
          <t>Judul</t>
        </is>
      </c>
      <c r="D4" s="28" t="inlineStr">
        <is>
          <t>Isi</t>
        </is>
      </c>
      <c r="E4" s="28" t="inlineStr">
        <is>
          <t>Sumber (URL)</t>
        </is>
      </c>
    </row>
    <row r="5">
      <c r="A5" s="4" t="n">
        <v>1</v>
      </c>
      <c r="B5" s="4" t="inlineStr">
        <is>
          <t>Program</t>
        </is>
      </c>
      <c r="C5" s="4" t="inlineStr">
        <is>
          <t>Apa itu Computer Science – Software Engineering (CSSE)?</t>
        </is>
      </c>
      <c r="D5" s="4" t="inlineStr">
        <is>
          <t>Program S1 (S.Kom., 4 tahun) di BINUS @Bekasi: rekayasa perangkat lunak dari desain, pengembangan, pengujian, sampai deployment dan maintenance.</t>
        </is>
      </c>
      <c r="E5" s="4" t="inlineStr">
        <is>
          <t>https://binus.ac.id/bekasi/csse/</t>
        </is>
      </c>
    </row>
    <row r="6">
      <c r="A6" s="7" t="n">
        <v>2</v>
      </c>
      <c r="B6" s="7" t="inlineStr">
        <is>
          <t>Program</t>
        </is>
      </c>
      <c r="C6" s="7" t="inlineStr">
        <is>
          <t>Belajar cara kerja tim software sungguhan</t>
        </is>
      </c>
      <c r="D6" s="7" t="inlineStr">
        <is>
          <t>Metodologi Waterfall, Agile, Scrum, DevOps; aplikasi lintas platform dengan fokus kinerja, keamanan, skalabilitas, user experience.</t>
        </is>
      </c>
      <c r="E6" s="7" t="inlineStr">
        <is>
          <t>https://binus.ac.id/bekasi/csse/</t>
        </is>
      </c>
    </row>
    <row r="7">
      <c r="A7" s="4" t="n">
        <v>3</v>
      </c>
      <c r="B7" s="4" t="inlineStr">
        <is>
          <t>Program</t>
        </is>
      </c>
      <c r="C7" s="4" t="inlineStr">
        <is>
          <t>Case-Based Learning</t>
        </is>
      </c>
      <c r="D7" s="4" t="inlineStr">
        <is>
          <t>Studi kasus nyata dari industri untuk merancang solusi perangkat lunak; mengasah berpikir kritis, problem solving, pengambilan keputusan.</t>
        </is>
      </c>
      <c r="E7" s="4" t="inlineStr">
        <is>
          <t>https://binus.ac.id/bekasi/csse/</t>
        </is>
      </c>
    </row>
    <row r="8">
      <c r="A8" s="7" t="n">
        <v>4</v>
      </c>
      <c r="B8" s="7" t="inlineStr">
        <is>
          <t>Program</t>
        </is>
      </c>
      <c r="C8" s="7" t="inlineStr">
        <is>
          <t>Perjalanan 4 tahun</t>
        </is>
      </c>
      <c r="D8" s="7" t="inlineStr">
        <is>
          <t>Tahun 1 Foundation Path, Tahun 2 Development Path, Tahun 3 Professional Path (QA, keamanan, Agile/Scrum/DevOps), Tahun 4 Industry &amp; Final Path (internship + Tugas Akhir).</t>
        </is>
      </c>
      <c r="E8" s="7" t="inlineStr">
        <is>
          <t>https://binus.ac.id/bekasi/csse/</t>
        </is>
      </c>
    </row>
    <row r="9">
      <c r="A9" s="4" t="n">
        <v>5</v>
      </c>
      <c r="B9" s="4" t="inlineStr">
        <is>
          <t>Program</t>
        </is>
      </c>
      <c r="C9" s="4" t="inlineStr">
        <is>
          <t>Karier setelah lulus</t>
        </is>
      </c>
      <c r="D9" s="4" t="inlineStr">
        <is>
          <t>Software Engineer, Software Developer, Full-Stack Developer, DevOps Engineer, IT Project Manager.</t>
        </is>
      </c>
      <c r="E9" s="4" t="inlineStr">
        <is>
          <t>https://binus.ac.id/bekasi/csse/</t>
        </is>
      </c>
    </row>
    <row r="10">
      <c r="A10" s="7" t="n">
        <v>6</v>
      </c>
      <c r="B10" s="7" t="inlineStr">
        <is>
          <t>Kampus</t>
        </is>
      </c>
      <c r="C10" s="7" t="inlineStr">
        <is>
          <t>Kampus BINUS @Bekasi</t>
        </is>
      </c>
      <c r="D10" s="7" t="inlineStr">
        <is>
          <t>Jalan Lingkar Boulevar Blok WA No.1, Summarecon Bekasi, Bekasi Utara. Fasilitas: Library, Computer Lab, Creative Room, Conference Room, Class Room.</t>
        </is>
      </c>
      <c r="E10" s="7" t="inlineStr">
        <is>
          <t>https://binus.ac.id/bekasi/csse/</t>
        </is>
      </c>
    </row>
    <row r="11">
      <c r="A11" s="4" t="n">
        <v>7</v>
      </c>
      <c r="B11" s="4" t="inlineStr">
        <is>
          <t>Prestasi</t>
        </is>
      </c>
      <c r="C11" s="4" t="inlineStr">
        <is>
          <t>Juara 3 Garuda Hacks 6.0</t>
        </is>
      </c>
      <c r="D11" s="4" t="inlineStr">
        <is>
          <t>Juara 3 Track Sustainability (diumumkan Februari 2026).</t>
        </is>
      </c>
      <c r="E11" s="4" t="inlineStr">
        <is>
          <t>https://binus.ac.id/bekasi/csse/</t>
        </is>
      </c>
    </row>
    <row r="12">
      <c r="A12" s="7" t="n">
        <v>8</v>
      </c>
      <c r="B12" s="7" t="inlineStr">
        <is>
          <t>Prestasi</t>
        </is>
      </c>
      <c r="C12" s="7" t="inlineStr">
        <is>
          <t>Pecah telur di DINACOM</t>
        </is>
      </c>
      <c r="D12" s="7" t="inlineStr">
        <is>
          <t>Prestasi pertama CSSE BINUS @Bekasi di Dinus Application Competition (Februari 2026).</t>
        </is>
      </c>
      <c r="E12" s="7" t="inlineStr">
        <is>
          <t>https://binus.ac.id/bekasi/csse/</t>
        </is>
      </c>
    </row>
    <row r="13">
      <c r="A13" s="4" t="n">
        <v>9</v>
      </c>
      <c r="B13" s="4" t="inlineStr">
        <is>
          <t>Komunitas</t>
        </is>
      </c>
      <c r="C13" s="4" t="inlineStr">
        <is>
          <t>Kunjungan industri</t>
        </is>
      </c>
      <c r="D13" s="4" t="inlineStr">
        <is>
          <t>Mahasiswa CSSE mengunjungi PT Anugerah Pharmindo Lestari – National Distribution Center, Cikarang.</t>
        </is>
      </c>
      <c r="E13" s="4" t="inlineStr">
        <is>
          <t>https://binus.ac.id/bekasi/csse/</t>
        </is>
      </c>
    </row>
    <row r="14">
      <c r="A14" s="7" t="n">
        <v>10</v>
      </c>
      <c r="B14" s="7" t="inlineStr">
        <is>
          <t>Komunitas</t>
        </is>
      </c>
      <c r="C14" s="7" t="inlineStr">
        <is>
          <t>Riset dosen &amp; mahasiswa</t>
        </is>
      </c>
      <c r="D14" s="7" t="inlineStr">
        <is>
          <t>YOLOv8/v5/v11 segmentasi citra alam; chatbot kesehatan; AI ekowisata Kabupaten Bekasi; deteksi sleep apnea dari EKG.</t>
        </is>
      </c>
      <c r="E14" s="7" t="inlineStr">
        <is>
          <t>https://binus.ac.id/bekasi/csse/</t>
        </is>
      </c>
    </row>
    <row r="15">
      <c r="A15" s="4" t="n">
        <v>11</v>
      </c>
      <c r="B15" s="4" t="inlineStr">
        <is>
          <t>Komunitas</t>
        </is>
      </c>
      <c r="C15" s="4" t="inlineStr">
        <is>
          <t>Cerita mahasiswa: Kerry Fendy</t>
        </is>
      </c>
      <c r="D15" s="4" t="inlineStr">
        <is>
          <t>Junior Lab Assistant Software Lab Center, staf E-Sport Burn Cup 2023, Juara 1 Jeromepiade BINUS, Best Tutor 2024/2025.</t>
        </is>
      </c>
      <c r="E15" s="4" t="inlineStr">
        <is>
          <t>https://binus.ac.id/bekasi/csse/</t>
        </is>
      </c>
    </row>
    <row r="16">
      <c r="A16" s="7" t="n">
        <v>12</v>
      </c>
      <c r="B16" s="7" t="inlineStr">
        <is>
          <t>Program</t>
        </is>
      </c>
      <c r="C16" s="7" t="inlineStr">
        <is>
          <t>Satu tahun Enrichment</t>
        </is>
      </c>
      <c r="D16" s="7" t="inlineStr">
        <is>
          <t>Skema (2+1)+1: Internship / Study Abroad. Campus Escape dibuat sebagai proyek Internship Enrichment.</t>
        </is>
      </c>
      <c r="E16" s="7" t="inlineStr">
        <is>
          <t>https://binus.ac.id/bekasi/</t>
        </is>
      </c>
    </row>
    <row r="17">
      <c r="A17" s="4" t="n">
        <v>13</v>
      </c>
      <c r="B17" s="4" t="inlineStr">
        <is>
          <t>Komunitas</t>
        </is>
      </c>
      <c r="C17" s="4" t="inlineStr">
        <is>
          <t>HIMTI dan komunitas mahasiswa SoCS</t>
        </is>
      </c>
      <c r="D17" s="4" t="inlineStr">
        <is>
          <t>HIMTI, JollyBee (competitive programming), PETIR (cyber security), Ureeka (product team).</t>
        </is>
      </c>
      <c r="E17" s="4" t="inlineStr">
        <is>
          <t>https://socs.binus.ac.id/</t>
        </is>
      </c>
    </row>
    <row r="18">
      <c r="A18" s="7" t="n">
        <v>14</v>
      </c>
      <c r="B18" s="7" t="inlineStr">
        <is>
          <t>Program</t>
        </is>
      </c>
      <c r="C18" s="7" t="inlineStr">
        <is>
          <t>Banyak peminatan di SoCS</t>
        </is>
      </c>
      <c r="D18" s="7" t="inlineStr">
        <is>
          <t>Computer Science, Mobile Application and Technology, Game Application and Technology, Cyber Security, Data Science, Artificial Intelligence.</t>
        </is>
      </c>
      <c r="E18" s="7" t="inlineStr">
        <is>
          <t>https://socs.binus.ac.id/</t>
        </is>
      </c>
    </row>
    <row r="19">
      <c r="A19" s="4" t="n">
        <v>15</v>
      </c>
      <c r="B19" s="4" t="inlineStr">
        <is>
          <t>Kampus</t>
        </is>
      </c>
      <c r="C19" s="4" t="inlineStr">
        <is>
          <t>Shuttle bus gratis antar kampus</t>
        </is>
      </c>
      <c r="D19" s="4" t="inlineStr">
        <is>
          <t>Shuttle bus gratis Kemanggisan ↔ Bekasi, keberangkatan pagi dan sore.</t>
        </is>
      </c>
      <c r="E19" s="4" t="inlineStr">
        <is>
          <t>https://binus.ac.id/bekasi/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80" customWidth="1" min="3" max="3"/>
  </cols>
  <sheetData>
    <row r="1">
      <c r="A1" s="1" t="inlineStr">
        <is>
          <t>Alur Aplikasi, Screen, dan Aturan Unlock</t>
        </is>
      </c>
    </row>
    <row r="3">
      <c r="A3" s="3" t="inlineStr">
        <is>
          <t>Screen</t>
        </is>
      </c>
      <c r="B3" s="3" t="inlineStr">
        <is>
          <t>Route</t>
        </is>
      </c>
      <c r="C3" s="3" t="inlineStr">
        <is>
          <t>Fungsi</t>
        </is>
      </c>
    </row>
    <row r="4">
      <c r="A4" s="4" t="inlineStr">
        <is>
          <t>Splash</t>
        </is>
      </c>
      <c r="B4" s="4" t="inlineStr">
        <is>
          <t>/</t>
        </is>
      </c>
      <c r="C4" s="4" t="inlineStr">
        <is>
          <t>Redirect ke /home kalau regu sudah terdaftar, kalau belum ke /landing</t>
        </is>
      </c>
    </row>
    <row r="5">
      <c r="A5" s="4" t="inlineStr">
        <is>
          <t>Landing</t>
        </is>
      </c>
      <c r="B5" s="4" t="inlineStr">
        <is>
          <t>/landing</t>
        </is>
      </c>
      <c r="C5" s="4" t="inlineStr">
        <is>
          <t>Foto BINUS @Bekasi memudar ke latar; registrasi: nama lengkap, no HP (format 08…), asal sekolah SMA/SMK (semua wajib), pilih 1 dari 12 robot avatar — warna latar app ikut robot</t>
        </is>
      </c>
    </row>
    <row r="6">
      <c r="A6" s="4" t="inlineStr">
        <is>
          <t>Home</t>
        </is>
      </c>
      <c r="B6" s="4" t="inlineStr">
        <is>
          <t>/home</t>
        </is>
      </c>
      <c r="C6" s="4" t="inlineStr">
        <is>
          <t>Dashboard: progres N/10, kartu Lanjutkan, shortcut, carousel foto BINUS @Bekasi</t>
        </is>
      </c>
    </row>
    <row r="7">
      <c r="A7" s="4" t="inlineStr">
        <is>
          <t>Peta Jalur</t>
        </is>
      </c>
      <c r="B7" s="4" t="inlineStr">
        <is>
          <t>/map</t>
        </is>
      </c>
      <c r="C7" s="4" t="inlineStr">
        <is>
          <t>Jalur berkelok ala level map: node bulat bernomor, bintang untuk yang selesai, Kamu di sini, foto BINUS @Bekasi &amp; logo BINUS/SoCS/HIMTI di sisi jalur</t>
        </is>
      </c>
    </row>
    <row r="8">
      <c r="A8" s="4" t="inlineStr">
        <is>
          <t>Kampus (Kenali BINUS @Bekasi)</t>
        </is>
      </c>
      <c r="B8" s="4" t="inlineStr">
        <is>
          <t>/collection</t>
        </is>
      </c>
      <c r="C8" s="4" t="inlineStr">
        <is>
          <t>Kenali BINUS @Bekasi: video profil SoCS, tentang CSSE, kenapa CSSE, academic journey, 5 foto fasilitas, dosen, HIMTI, 15 fakta rolling, sumber</t>
        </is>
      </c>
    </row>
    <row r="9">
      <c r="A9" s="4" t="inlineStr">
        <is>
          <t>Leaderboard</t>
        </is>
      </c>
      <c r="B9" s="4" t="inlineStr">
        <is>
          <t>/leaderboard</t>
        </is>
      </c>
      <c r="C9" s="4" t="inlineStr">
        <is>
          <t>Data sungguhan: semua pemain yang pernah main di perangkat ini + posisi pemain aktif</t>
        </is>
      </c>
    </row>
    <row r="10">
      <c r="A10" s="4" t="inlineStr">
        <is>
          <t>Profil</t>
        </is>
      </c>
      <c r="B10" s="4" t="inlineStr">
        <is>
          <t>/profile</t>
        </is>
      </c>
      <c r="C10" s="4" t="inlineStr">
        <is>
          <t>Identitas regu, stats, anggota, pencapaian, reset</t>
        </is>
      </c>
    </row>
    <row r="11">
      <c r="A11" s="4" t="inlineStr">
        <is>
          <t>Room screen</t>
        </is>
      </c>
      <c r="B11" s="4" t="inlineStr">
        <is>
          <t>/room/&lt;RoomId&gt;</t>
        </is>
      </c>
      <c r="C11" s="4" t="inlineStr">
        <is>
          <t>10 ruangan, tanpa bottom nav</t>
        </is>
      </c>
    </row>
    <row r="12">
      <c r="A12" s="4" t="inlineStr">
        <is>
          <t>Insight Card</t>
        </is>
      </c>
      <c r="B12" s="4" t="inlineStr">
        <is>
          <t>/insight/&lt;RoomId&gt;</t>
        </is>
      </c>
      <c r="C12" s="4" t="inlineStr">
        <is>
          <t>Setelah puzzle selesai; XP/bintang/waktu</t>
        </is>
      </c>
    </row>
    <row r="13">
      <c r="A13" s="4" t="inlineStr">
        <is>
          <t>Panel Admin</t>
        </is>
      </c>
      <c r="B13" s="4" t="inlineStr">
        <is>
          <t>/admin</t>
        </is>
      </c>
      <c r="C13" s="4" t="inlineStr">
        <is>
          <t>Ikon kunci di Home → password (default socs2026). Progres &amp; ekspor semua pemain (CSV/PDF), atur ruangan aktif &amp; XP, ganti password, reset</t>
        </is>
      </c>
    </row>
    <row r="14">
      <c r="A14" s="4" t="inlineStr">
        <is>
          <t>Ringkasan Akhir</t>
        </is>
      </c>
      <c r="B14" s="4" t="inlineStr">
        <is>
          <t>/summary</t>
        </is>
      </c>
      <c r="C14" s="4" t="inlineStr">
        <is>
          <t>Status, skor per ruang, sertifikat PDF (kertas terang khas BINUS: logo kanan atas, watermark BINUS/SoCS, sirkuit, robot) dibuat otomatis di perangkat</t>
        </is>
      </c>
    </row>
    <row r="15">
      <c r="A15" s="4" t="inlineStr"/>
      <c r="B15" s="4" t="inlineStr"/>
      <c r="C15" s="4" t="inlineStr">
        <is>
          <t xml:space="preserve"> </t>
        </is>
      </c>
    </row>
    <row r="16">
      <c r="A16" s="29" t="inlineStr">
        <is>
          <t>Aturan</t>
        </is>
      </c>
      <c r="B16" s="4" t="inlineStr"/>
      <c r="C16" s="4" t="inlineStr"/>
    </row>
    <row r="17">
      <c r="A17" s="4" t="inlineStr">
        <is>
          <t>Unlock core</t>
        </is>
      </c>
      <c r="B17" s="4" t="inlineStr"/>
      <c r="C17" s="4" t="inlineStr">
        <is>
          <t>Core aktif N terbuka setelah core aktif sebelumnya selesai; core aktif pertama terbuka sejak awal. Ruangan yang dinonaktifkan admin dilewati.</t>
        </is>
      </c>
    </row>
    <row r="18">
      <c r="A18" s="4" t="inlineStr">
        <is>
          <t>Unlock bonus</t>
        </is>
      </c>
      <c r="B18" s="4" t="inlineStr"/>
      <c r="C18" s="4" t="inlineStr">
        <is>
          <t>Bonus room aktif terbuka setelah semua core aktif selesai</t>
        </is>
      </c>
    </row>
    <row r="19">
      <c r="A19" s="4" t="inlineStr">
        <is>
          <t>Waktu</t>
        </is>
      </c>
      <c r="B19" s="4" t="inlineStr"/>
      <c r="C19" s="4" t="inlineStr">
        <is>
          <t>Tidak ada batas waktu / countdown. Waktu bermain hanya dicatat untuk statistik.</t>
        </is>
      </c>
    </row>
    <row r="20">
      <c r="A20" s="4" t="inlineStr">
        <is>
          <t>Replay</t>
        </is>
      </c>
      <c r="B20" s="4" t="inlineStr"/>
      <c r="C20" s="4" t="inlineStr">
        <is>
          <t>Boleh main ulang; hanya bintang yang bisa naik, XP tidak bertambah</t>
        </is>
      </c>
    </row>
    <row r="21">
      <c r="A21" s="4" t="inlineStr">
        <is>
          <t>Reset</t>
        </is>
      </c>
      <c r="B21" s="4" t="inlineStr"/>
      <c r="C21" s="4" t="inlineStr">
        <is>
          <t>Profil → Reset progres sesi (hapus progres pemain aktif; arsip admin tetap)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80" customWidth="1" min="3" max="3"/>
  </cols>
  <sheetData>
    <row r="1">
      <c r="A1" s="1" t="inlineStr">
        <is>
          <t>Panel Admin — akses panitia di dalam app</t>
        </is>
      </c>
    </row>
    <row r="2">
      <c r="A2" s="2" t="inlineStr">
        <is>
          <t>Dibuka dari ikon kunci (kanan atas Home). Hanya password, tanpa username. Simpan sheet ini untuk panitia saja.</t>
        </is>
      </c>
    </row>
    <row r="3">
      <c r="A3" s="3" t="inlineStr">
        <is>
          <t>Bagian</t>
        </is>
      </c>
      <c r="B3" s="3" t="inlineStr">
        <is>
          <t>Isi</t>
        </is>
      </c>
      <c r="C3" s="3" t="inlineStr">
        <is>
          <t>Catatan</t>
        </is>
      </c>
    </row>
    <row r="4">
      <c r="A4" s="30" t="inlineStr">
        <is>
          <t>PASSWORD</t>
        </is>
      </c>
      <c r="B4" s="4" t="inlineStr"/>
      <c r="C4" s="4" t="inlineStr"/>
    </row>
    <row r="5">
      <c r="A5" s="4" t="inlineStr">
        <is>
          <t>Password default</t>
        </is>
      </c>
      <c r="B5" s="31" t="inlineStr">
        <is>
          <t>socs2026</t>
        </is>
      </c>
      <c r="C5" s="4" t="inlineStr">
        <is>
          <t>Huruf kecil semua. Bisa diganti di Panel Admin → Keamanan &amp; data → Ganti password admin (min. 4 karakter).</t>
        </is>
      </c>
    </row>
    <row r="6">
      <c r="A6" s="4" t="inlineStr">
        <is>
          <t>Kalau lupa password baru</t>
        </is>
      </c>
      <c r="B6" s="4" t="inlineStr">
        <is>
          <t>Uninstall app lalu install ulang → kembali ke default socs2026</t>
        </is>
      </c>
      <c r="C6" s="4" t="inlineStr">
        <is>
          <t>Password disimpan lokal di perangkat (Hive box campus_escape_admin_v1), tidak ada server. Uninstall juga menghapus arsip pemain — ekspor dulu kalau bisa.</t>
        </is>
      </c>
    </row>
    <row r="7">
      <c r="A7" s="4" t="inlineStr">
        <is>
          <t>Cara masuk</t>
        </is>
      </c>
      <c r="B7" s="4" t="inlineStr">
        <is>
          <t>Home → ikon kunci (kanan atas) → ketik password → Masuk</t>
        </is>
      </c>
      <c r="C7" s="4" t="inlineStr">
        <is>
          <t>Password salah → pesan 'Password salah'. Tombol Keluar / panah kembali untuk menutup panel.</t>
        </is>
      </c>
    </row>
    <row r="8">
      <c r="A8" s="4" t="inlineStr"/>
      <c r="B8" s="4" t="inlineStr"/>
      <c r="C8" s="4" t="inlineStr"/>
    </row>
    <row r="9">
      <c r="A9" s="30" t="inlineStr">
        <is>
          <t>FITUR</t>
        </is>
      </c>
      <c r="B9" s="4" t="inlineStr"/>
      <c r="C9" s="4" t="inlineStr"/>
    </row>
    <row r="10">
      <c r="A10" s="4" t="inlineStr">
        <is>
          <t>1. Ringkasan</t>
        </is>
      </c>
      <c r="B10" s="4" t="inlineStr">
        <is>
          <t>Jumlah pemain, jumlah yang selesai semua ruangan, rata-rata XP</t>
        </is>
      </c>
      <c r="C10" s="4" t="inlineStr">
        <is>
          <t>Dihitung dari arsip semua pemain di perangkat ini + pemain yang sedang aktif.</t>
        </is>
      </c>
    </row>
    <row r="11">
      <c r="A11" s="4" t="inlineStr">
        <is>
          <t>2. Tarik data — Salin CSV</t>
        </is>
      </c>
      <c r="B11" s="4" t="inlineStr">
        <is>
          <t>Menyalin seluruh data pemain ke clipboard</t>
        </is>
      </c>
      <c r="C11" s="4" t="inlineStr">
        <is>
          <t>Tempel (paste) di Excel / Google Sheets → otomatis jadi kolom. Kolom: session_id, nama, sekolah, no_hp, skor_total, ruang_selesai, ruang_total, status, mulai, terakhir_main, lalu skor tiap ruangan (skor_algorithm … skor_bonusCyber).</t>
        </is>
      </c>
    </row>
    <row r="12">
      <c r="A12" s="4" t="inlineStr">
        <is>
          <t>3. Tarik data — Bagikan PDF</t>
        </is>
      </c>
      <c r="B12" s="4" t="inlineStr">
        <is>
          <t>Rekap PDF A4 landscape: tabel pemain + tabel skor per ruangan</t>
        </is>
      </c>
      <c r="C12" s="4" t="inlineStr">
        <is>
          <t>Lewat share sheet Android/iOS: kirim ke WhatsApp/email/Drive atau simpan ke file. Nama file Rekap_Campus_Escape_YYYYMMDD.pdf.</t>
        </is>
      </c>
    </row>
    <row r="13">
      <c r="A13" s="4" t="inlineStr">
        <is>
          <t>4. Progres pemain</t>
        </is>
      </c>
      <c r="B13" s="4" t="inlineStr">
        <is>
          <t>Daftar semua pemain (terbaru di atas): nama, sekolah, no HP, XP, ruang selesai/total, status Selesai/Berjalan; pemain aktif ditandai 'Aktif'</t>
        </is>
      </c>
      <c r="C13" s="4" t="inlineStr">
        <is>
          <t>Tap pemain → detail: waktu mulai &amp; terakhir main, skor tiap ruangan. Arsip diperbarui otomatis saat daftar, tiap ruangan selesai, dan sebelum reset.</t>
        </is>
      </c>
    </row>
    <row r="14">
      <c r="A14" s="4" t="inlineStr">
        <is>
          <t>5. Atur ruangan — aktif/nonaktif</t>
        </is>
      </c>
      <c r="B14" s="4" t="inlineStr">
        <is>
          <t>Switch per ruangan (10 ruangan)</t>
        </is>
      </c>
      <c r="C14" s="4" t="inlineStr">
        <is>
          <t>Ruangan nonaktif: hilang dari peta, dilewati urutan unlock, tidak dihitung di total/sertifikat. Minimal 1 ruang utama harus aktif. Berlaku langsung (recompute unlock).</t>
        </is>
      </c>
    </row>
    <row r="15">
      <c r="A15" s="4" t="inlineStr">
        <is>
          <t>6. Atur ruangan — XP dasar</t>
        </is>
      </c>
      <c r="B15" s="4" t="inlineStr">
        <is>
          <t>Stepper − / + per ruangan, 50–500, kelipatan 25</t>
        </is>
      </c>
      <c r="C15" s="4" t="inlineStr">
        <is>
          <t>Skor ruangan = XP dasar − 25×hint − 10×salah (min. setengah XP dasar). Berlaku untuk penyelesaian berikutnya, skor lama tidak berubah.</t>
        </is>
      </c>
    </row>
    <row r="16">
      <c r="A16" s="4" t="inlineStr">
        <is>
          <t>7. Kembalikan default</t>
        </is>
      </c>
      <c r="B16" s="4" t="inlineStr">
        <is>
          <t>Semua ruangan aktif, XP kembali ke katalog (200 core, 150 AI, 200 Cyber)</t>
        </is>
      </c>
      <c r="C16" s="4" t="inlineStr"/>
    </row>
    <row r="17">
      <c r="A17" s="4" t="inlineStr">
        <is>
          <t>8. Reset pemain aktif</t>
        </is>
      </c>
      <c r="B17" s="4" t="inlineStr">
        <is>
          <t>Hapus progres pemain yang sedang main, app kembali ke halaman daftar</t>
        </is>
      </c>
      <c r="C17" s="4" t="inlineStr">
        <is>
          <t>Snapshot pemain tetap tersimpan di arsip &amp; leaderboard.</t>
        </is>
      </c>
    </row>
    <row r="18">
      <c r="A18" s="4" t="inlineStr">
        <is>
          <t>9. Hapus arsip semua pemain</t>
        </is>
      </c>
      <c r="B18" s="4" t="inlineStr">
        <is>
          <t>Hapus permanen semua data pemain di perangkat ini</t>
        </is>
      </c>
      <c r="C18" s="4" t="inlineStr">
        <is>
          <t>Ada konfirmasi. Ekspor CSV/PDF dulu.</t>
        </is>
      </c>
    </row>
    <row r="19">
      <c r="A19" s="4" t="inlineStr"/>
      <c r="B19" s="4" t="inlineStr"/>
      <c r="C19" s="4" t="inlineStr"/>
    </row>
    <row r="20">
      <c r="A20" s="30" t="inlineStr">
        <is>
          <t>YANG TIDAK BISA DARI PANEL</t>
        </is>
      </c>
      <c r="B20" s="4" t="inlineStr"/>
      <c r="C20" s="4" t="inlineStr"/>
    </row>
    <row r="21">
      <c r="A21" s="4" t="inlineStr">
        <is>
          <t>Menambah ruangan baru</t>
        </is>
      </c>
      <c r="B21" s="4" t="inlineStr">
        <is>
          <t>Tidak bisa dari app</t>
        </is>
      </c>
      <c r="C21" s="4" t="inlineStr">
        <is>
          <t>Tiap ruangan adalah mini-game yang dikodekan (lib/presentation/screens/rooms/). Lihat README §11.</t>
        </is>
      </c>
    </row>
    <row r="22">
      <c r="A22" s="4" t="inlineStr">
        <is>
          <t>Data lintas perangkat</t>
        </is>
      </c>
      <c r="B22" s="4" t="inlineStr">
        <is>
          <t>Tidak ada</t>
        </is>
      </c>
      <c r="C22" s="4" t="inlineStr">
        <is>
          <t>Arsip &amp; leaderboard per perangkat. Gabungkan lewat ekspor CSV dari tiap HP/tablet booth.</t>
        </is>
      </c>
    </row>
    <row r="23">
      <c r="A23" s="4" t="inlineStr"/>
      <c r="B23" s="4" t="inlineStr"/>
      <c r="C23" s="4" t="inlineStr"/>
    </row>
    <row r="24">
      <c r="A24" s="30" t="inlineStr">
        <is>
          <t>TIPS BOOTH</t>
        </is>
      </c>
      <c r="B24" s="4" t="inlineStr"/>
      <c r="C24" s="4" t="inlineStr"/>
    </row>
    <row r="25">
      <c r="A25" s="4" t="inlineStr">
        <is>
          <t>Sebelum acara</t>
        </is>
      </c>
      <c r="B25" s="4" t="inlineStr">
        <is>
          <t>Nyalakan semua ruangan yang mau dipakai, cek XP, ganti password dari default</t>
        </is>
      </c>
      <c r="C25" s="4" t="inlineStr"/>
    </row>
    <row r="26">
      <c r="A26" s="4" t="inlineStr">
        <is>
          <t>Selama acara</t>
        </is>
      </c>
      <c r="B26" s="4" t="inlineStr">
        <is>
          <t>Tidak perlu buka panel; pemain daftar sendiri, data tersimpan otomatis</t>
        </is>
      </c>
      <c r="C26" s="4" t="inlineStr"/>
    </row>
    <row r="27">
      <c r="A27" s="4" t="inlineStr">
        <is>
          <t>Setelah acara</t>
        </is>
      </c>
      <c r="B27" s="4" t="inlineStr">
        <is>
          <t>Salin CSV / Bagikan PDF dari tiap perangkat, lalu Hapus arsip kalau perangkat dipakai acara lain</t>
        </is>
      </c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2026-10-15T14:58:20Z</dcterms:created>
  <dcterms:modified xmlns:dcterms="http://purl.org/dc/terms/" xmlns:xsi="http://www.w3.org/2001/XMLSchema-instance" xsi:type="dcterms:W3CDTF">2026-10-15T14:58:20Z</dcterms:modified>
</cp:coreProperties>
</file>